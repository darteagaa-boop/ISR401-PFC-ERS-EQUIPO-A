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0" documentId="8_{B45B5F00-70B7-4306-BF38-AE89CAA3F3B1}" xr6:coauthVersionLast="47" xr6:coauthVersionMax="47" xr10:uidLastSave="{00000000-0000-0000-0000-000000000000}"/>
  <bookViews>
    <workbookView xWindow="0" yWindow="0" windowWidth="16384" windowHeight="8192" tabRatio="500" xr2:uid="{00000000-000D-0000-FFFF-FFFF00000000}"/>
  </bookViews>
  <sheets>
    <sheet name="Métricas Fagan"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3" i="1" l="1"/>
  <c r="B45" i="1" s="1"/>
  <c r="B38" i="1"/>
  <c r="C38" i="1" s="1"/>
  <c r="B37" i="1"/>
  <c r="C37" i="1" s="1"/>
  <c r="B36" i="1"/>
  <c r="C35" i="1"/>
  <c r="C34" i="1"/>
  <c r="C33" i="1"/>
  <c r="C36" i="1" s="1"/>
  <c r="B29" i="1"/>
  <c r="C29" i="1" s="1"/>
  <c r="B28" i="1"/>
  <c r="C27" i="1"/>
  <c r="C26" i="1"/>
  <c r="C25" i="1"/>
  <c r="C28" i="1" s="1"/>
  <c r="B20" i="1"/>
  <c r="C19" i="1"/>
  <c r="C18" i="1"/>
  <c r="C17" i="1"/>
  <c r="C16" i="1"/>
  <c r="C15" i="1"/>
  <c r="C14" i="1"/>
  <c r="C20" i="1" s="1"/>
  <c r="B10" i="1"/>
  <c r="C10" i="1" s="1"/>
</calcChain>
</file>

<file path=xl/sharedStrings.xml><?xml version="1.0" encoding="utf-8"?>
<sst xmlns="http://schemas.openxmlformats.org/spreadsheetml/2006/main" count="50" uniqueCount="45">
  <si>
    <t>Métricas de la Inspección Fagan</t>
  </si>
  <si>
    <t>Elaborado: Jamileth Gamarra Zárate</t>
  </si>
  <si>
    <t>Datos base</t>
  </si>
  <si>
    <t>Total de defectos</t>
  </si>
  <si>
    <t>Total de páginas (ERS)</t>
  </si>
  <si>
    <t>1. Densidad de defectos</t>
  </si>
  <si>
    <t>Cálculo</t>
  </si>
  <si>
    <t>Fórmula</t>
  </si>
  <si>
    <t>Resultado</t>
  </si>
  <si>
    <t>Defectos / Páginas</t>
  </si>
  <si>
    <t>2. Distribución por tipo</t>
  </si>
  <si>
    <t>Tipo de defecto</t>
  </si>
  <si>
    <t>Cantidad</t>
  </si>
  <si>
    <t>% del total</t>
  </si>
  <si>
    <t>Omisión</t>
  </si>
  <si>
    <t>Inconsistencia</t>
  </si>
  <si>
    <t>Duplicación</t>
  </si>
  <si>
    <t>Ambigüedad</t>
  </si>
  <si>
    <t>Contradicción</t>
  </si>
  <si>
    <t>Error de hecho</t>
  </si>
  <si>
    <t>Total</t>
  </si>
  <si>
    <t>Nota: Omisión domina la distribución (mayor porcentaje individual)</t>
  </si>
  <si>
    <t>3. Distribución por severidad</t>
  </si>
  <si>
    <t>Severidad</t>
  </si>
  <si>
    <t>Crítico</t>
  </si>
  <si>
    <t>Mayor</t>
  </si>
  <si>
    <t>Menor</t>
  </si>
  <si>
    <t>Crítico + Mayor</t>
  </si>
  <si>
    <t>4. Tasa de detección</t>
  </si>
  <si>
    <t>Fase / Revisor</t>
  </si>
  <si>
    <t>Defectos detectados</t>
  </si>
  <si>
    <t>Individual — Jamileth</t>
  </si>
  <si>
    <t>Reunión grupal — Jhon</t>
  </si>
  <si>
    <t>Reunión grupal — Danela</t>
  </si>
  <si>
    <t>Fase individual (Jamileth)</t>
  </si>
  <si>
    <t>Fase grupal (reunión)</t>
  </si>
  <si>
    <t>5. Esfuerzo de inspección</t>
  </si>
  <si>
    <t>Actividad</t>
  </si>
  <si>
    <t>Horas-persona</t>
  </si>
  <si>
    <t>Preparación individual (~7 h-persona)</t>
  </si>
  <si>
    <t>Reunión Fagan: 90 min × 3 personas</t>
  </si>
  <si>
    <t>Consolidación (~1 h)</t>
  </si>
  <si>
    <t>Total esfuerzo</t>
  </si>
  <si>
    <t>Interpretación</t>
  </si>
  <si>
    <t>La densidad subió levemente respecto a la v2.0 (0.27 → 0.28), a pesar de que la versión 3.0 se presentó como una entrega que "completaba secciones pendientes". El hallazgo más relevante de esta ronda es que tres de los seis defectos críticos (D2, D3 y D5) surgen de una discrepancia entre lo que el propio Historial de Versiones del documento declara haber hecho y lo que realmente contiene el cuerpo del ERS. Esto indica que el control de versiones del documento no es confiable como fuente de verdad y debe verificarse siempre contra el contenido real antes de dar por cerrada una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</si>
</sst>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charset val="1"/>
    </font>
    <font>
      <i/>
      <sz val="10"/>
      <color rgb="FF555555"/>
      <name val="Arial"/>
      <charset val="1"/>
    </font>
    <font>
      <b/>
      <sz val="11"/>
      <name val="Arial"/>
      <charset val="1"/>
    </font>
    <font>
      <sz val="11"/>
      <name val="Arial"/>
      <charset val="1"/>
    </font>
    <font>
      <b/>
      <sz val="11"/>
      <color rgb="FFFFFFFF"/>
      <name val="Arial"/>
      <charset val="1"/>
    </font>
    <font>
      <b/>
      <sz val="14"/>
      <color rgb="FF000000"/>
      <name val="Arial"/>
      <charset val="1"/>
    </font>
  </fonts>
  <fills count="2">
    <fill>
      <patternFill patternType="none"/>
    </fill>
    <fill>
      <patternFill patternType="gray125"/>
    </fill>
  </fills>
  <borders count="6">
    <border>
      <left/>
      <right/>
      <top/>
      <bottom/>
      <diagonal/>
    </border>
    <border>
      <left style="thin">
        <color rgb="FFB7B7B7"/>
      </left>
      <right/>
      <top style="thin">
        <color rgb="FFB7B7B7"/>
      </top>
      <bottom style="thin">
        <color rgb="FFB7B7B7"/>
      </bottom>
      <diagonal/>
    </border>
    <border>
      <left style="thin">
        <color rgb="FFB7B7B7"/>
      </left>
      <right/>
      <top style="thin">
        <color rgb="FFB7B7B7"/>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s>
  <cellStyleXfs count="1">
    <xf numFmtId="0" fontId="0" fillId="0" borderId="0"/>
  </cellStyleXfs>
  <cellXfs count="19">
    <xf numFmtId="0" fontId="0" fillId="0" borderId="0" xfId="0"/>
    <xf numFmtId="0" fontId="3" fillId="0" borderId="2" xfId="0" applyFont="1" applyBorder="1" applyAlignment="1">
      <alignment vertical="top" wrapText="1"/>
    </xf>
    <xf numFmtId="0" fontId="0" fillId="0" borderId="3" xfId="0" applyBorder="1"/>
    <xf numFmtId="0" fontId="0" fillId="0" borderId="3" xfId="0" applyBorder="1" applyAlignment="1">
      <alignment horizontal="center"/>
    </xf>
    <xf numFmtId="9" fontId="0" fillId="0" borderId="3" xfId="0" applyNumberFormat="1" applyBorder="1"/>
    <xf numFmtId="0" fontId="2" fillId="0" borderId="3" xfId="0" applyFont="1" applyBorder="1"/>
    <xf numFmtId="0" fontId="2" fillId="0" borderId="3" xfId="0" applyFont="1" applyBorder="1" applyAlignment="1">
      <alignment horizontal="center"/>
    </xf>
    <xf numFmtId="9" fontId="2" fillId="0" borderId="3" xfId="0" applyNumberFormat="1" applyFont="1" applyBorder="1"/>
    <xf numFmtId="0" fontId="4" fillId="0" borderId="4" xfId="0" applyFont="1" applyBorder="1"/>
    <xf numFmtId="0" fontId="1" fillId="0" borderId="5" xfId="0" applyFont="1" applyBorder="1"/>
    <xf numFmtId="164" fontId="0" fillId="0" borderId="3" xfId="0" applyNumberFormat="1" applyBorder="1"/>
    <xf numFmtId="164" fontId="2" fillId="0" borderId="3" xfId="0" applyNumberFormat="1" applyFont="1" applyBorder="1"/>
    <xf numFmtId="0" fontId="3" fillId="0" borderId="3" xfId="0" applyFont="1" applyBorder="1"/>
    <xf numFmtId="0" fontId="3" fillId="0" borderId="3" xfId="0" applyFont="1" applyBorder="1" applyAlignment="1">
      <alignment horizontal="center"/>
    </xf>
    <xf numFmtId="2" fontId="0" fillId="0" borderId="3" xfId="0" applyNumberFormat="1" applyBorder="1"/>
    <xf numFmtId="0" fontId="5" fillId="0" borderId="1" xfId="0" applyFont="1" applyBorder="1" applyAlignment="1"/>
    <xf numFmtId="0" fontId="1" fillId="0" borderId="1" xfId="0" applyFont="1" applyBorder="1" applyAlignment="1"/>
    <xf numFmtId="0" fontId="2" fillId="0" borderId="2" xfId="0" applyFont="1" applyBorder="1" applyAlignment="1"/>
    <xf numFmtId="0" fontId="2" fillId="0" borderId="1" xfId="0"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tabSelected="1" zoomScaleNormal="100" workbookViewId="0">
      <selection activeCell="A8" sqref="A8:D8"/>
    </sheetView>
  </sheetViews>
  <sheetFormatPr defaultColWidth="8.7109375" defaultRowHeight="15"/>
  <cols>
    <col min="1" max="1" width="30" customWidth="1"/>
    <col min="2" max="2" width="34" customWidth="1"/>
    <col min="3" max="3" width="26" customWidth="1"/>
    <col min="4" max="4" width="14" customWidth="1"/>
  </cols>
  <sheetData>
    <row r="1" spans="1:4" ht="18">
      <c r="A1" s="15" t="s">
        <v>0</v>
      </c>
      <c r="B1" s="15"/>
      <c r="C1" s="15"/>
      <c r="D1" s="15"/>
    </row>
    <row r="2" spans="1:4">
      <c r="A2" s="16" t="s">
        <v>1</v>
      </c>
      <c r="B2" s="16"/>
      <c r="C2" s="16"/>
      <c r="D2" s="16"/>
    </row>
    <row r="4" spans="1:4">
      <c r="A4" s="17" t="s">
        <v>2</v>
      </c>
      <c r="B4" s="17"/>
      <c r="C4" s="18"/>
      <c r="D4" s="18"/>
    </row>
    <row r="5" spans="1:4">
      <c r="A5" s="12" t="s">
        <v>3</v>
      </c>
      <c r="B5" s="13">
        <v>18</v>
      </c>
    </row>
    <row r="6" spans="1:4">
      <c r="A6" s="12" t="s">
        <v>4</v>
      </c>
      <c r="B6" s="13">
        <v>64</v>
      </c>
    </row>
    <row r="8" spans="1:4">
      <c r="A8" s="18" t="s">
        <v>5</v>
      </c>
      <c r="B8" s="18"/>
      <c r="C8" s="18"/>
      <c r="D8" s="18"/>
    </row>
    <row r="9" spans="1:4">
      <c r="A9" s="8" t="s">
        <v>6</v>
      </c>
      <c r="B9" s="8" t="s">
        <v>7</v>
      </c>
      <c r="C9" s="8" t="s">
        <v>8</v>
      </c>
    </row>
    <row r="10" spans="1:4">
      <c r="A10" s="2" t="s">
        <v>9</v>
      </c>
      <c r="B10" s="14">
        <f>B5/B6</f>
        <v>0.28125</v>
      </c>
      <c r="C10" s="2" t="str">
        <f>TEXT(B10,"0.00")&amp;" defectos/página"</f>
        <v>000 defectos/página</v>
      </c>
    </row>
    <row r="12" spans="1:4">
      <c r="A12" s="18" t="s">
        <v>10</v>
      </c>
      <c r="B12" s="18"/>
      <c r="C12" s="18"/>
      <c r="D12" s="18"/>
    </row>
    <row r="13" spans="1:4">
      <c r="A13" s="8" t="s">
        <v>11</v>
      </c>
      <c r="B13" s="8" t="s">
        <v>12</v>
      </c>
      <c r="C13" s="8" t="s">
        <v>13</v>
      </c>
    </row>
    <row r="14" spans="1:4">
      <c r="A14" s="2" t="s">
        <v>14</v>
      </c>
      <c r="B14" s="3">
        <v>7</v>
      </c>
      <c r="C14" s="4">
        <f>B14/B5</f>
        <v>0.3888888888888889</v>
      </c>
    </row>
    <row r="15" spans="1:4">
      <c r="A15" s="2" t="s">
        <v>15</v>
      </c>
      <c r="B15" s="3">
        <v>4</v>
      </c>
      <c r="C15" s="4">
        <f>B15/B5</f>
        <v>0.22222222222222221</v>
      </c>
    </row>
    <row r="16" spans="1:4">
      <c r="A16" s="2" t="s">
        <v>16</v>
      </c>
      <c r="B16" s="3">
        <v>3</v>
      </c>
      <c r="C16" s="4">
        <f>B16/B5</f>
        <v>0.16666666666666666</v>
      </c>
    </row>
    <row r="17" spans="1:4">
      <c r="A17" s="2" t="s">
        <v>17</v>
      </c>
      <c r="B17" s="3">
        <v>2</v>
      </c>
      <c r="C17" s="4">
        <f>B17/B5</f>
        <v>0.1111111111111111</v>
      </c>
    </row>
    <row r="18" spans="1:4">
      <c r="A18" s="2" t="s">
        <v>18</v>
      </c>
      <c r="B18" s="3">
        <v>1</v>
      </c>
      <c r="C18" s="4">
        <f>B18/B5</f>
        <v>5.5555555555555552E-2</v>
      </c>
    </row>
    <row r="19" spans="1:4">
      <c r="A19" s="2" t="s">
        <v>19</v>
      </c>
      <c r="B19" s="3">
        <v>1</v>
      </c>
      <c r="C19" s="4">
        <f>B19/B5</f>
        <v>5.5555555555555552E-2</v>
      </c>
    </row>
    <row r="20" spans="1:4">
      <c r="A20" s="5" t="s">
        <v>20</v>
      </c>
      <c r="B20" s="6">
        <f>SUM(B14:B19)</f>
        <v>18</v>
      </c>
      <c r="C20" s="7">
        <f>SUM(C14:C19)</f>
        <v>1</v>
      </c>
    </row>
    <row r="21" spans="1:4">
      <c r="A21" s="9" t="s">
        <v>21</v>
      </c>
    </row>
    <row r="23" spans="1:4">
      <c r="A23" s="18" t="s">
        <v>22</v>
      </c>
      <c r="B23" s="18"/>
      <c r="C23" s="18"/>
      <c r="D23" s="18"/>
    </row>
    <row r="24" spans="1:4">
      <c r="A24" s="8" t="s">
        <v>23</v>
      </c>
      <c r="B24" s="8" t="s">
        <v>12</v>
      </c>
      <c r="C24" s="8" t="s">
        <v>13</v>
      </c>
    </row>
    <row r="25" spans="1:4">
      <c r="A25" s="2" t="s">
        <v>24</v>
      </c>
      <c r="B25" s="3">
        <v>6</v>
      </c>
      <c r="C25" s="4">
        <f>B25/B5</f>
        <v>0.33333333333333331</v>
      </c>
    </row>
    <row r="26" spans="1:4">
      <c r="A26" s="2" t="s">
        <v>25</v>
      </c>
      <c r="B26" s="3">
        <v>7</v>
      </c>
      <c r="C26" s="4">
        <f>B26/B5</f>
        <v>0.3888888888888889</v>
      </c>
    </row>
    <row r="27" spans="1:4">
      <c r="A27" s="2" t="s">
        <v>26</v>
      </c>
      <c r="B27" s="3">
        <v>5</v>
      </c>
      <c r="C27" s="4">
        <f>B27/B5</f>
        <v>0.27777777777777779</v>
      </c>
    </row>
    <row r="28" spans="1:4">
      <c r="A28" s="5" t="s">
        <v>20</v>
      </c>
      <c r="B28" s="6">
        <f>SUM(B25:B27)</f>
        <v>18</v>
      </c>
      <c r="C28" s="7">
        <f>SUM(C25:C27)</f>
        <v>1</v>
      </c>
    </row>
    <row r="29" spans="1:4">
      <c r="A29" s="2" t="s">
        <v>27</v>
      </c>
      <c r="B29" s="3">
        <f>B25+B26</f>
        <v>13</v>
      </c>
      <c r="C29" s="4">
        <f>B29/B5</f>
        <v>0.72222222222222221</v>
      </c>
    </row>
    <row r="31" spans="1:4">
      <c r="A31" s="18" t="s">
        <v>28</v>
      </c>
      <c r="B31" s="18"/>
      <c r="C31" s="18"/>
      <c r="D31" s="18"/>
    </row>
    <row r="32" spans="1:4">
      <c r="A32" s="8" t="s">
        <v>29</v>
      </c>
      <c r="B32" s="8" t="s">
        <v>30</v>
      </c>
      <c r="C32" s="8" t="s">
        <v>13</v>
      </c>
    </row>
    <row r="33" spans="1:4">
      <c r="A33" s="2" t="s">
        <v>31</v>
      </c>
      <c r="B33" s="3">
        <v>12</v>
      </c>
      <c r="C33" s="4">
        <f>B33/B5</f>
        <v>0.66666666666666663</v>
      </c>
    </row>
    <row r="34" spans="1:4">
      <c r="A34" s="2" t="s">
        <v>32</v>
      </c>
      <c r="B34" s="3">
        <v>3</v>
      </c>
      <c r="C34" s="4">
        <f>B34/B5</f>
        <v>0.16666666666666666</v>
      </c>
    </row>
    <row r="35" spans="1:4">
      <c r="A35" s="2" t="s">
        <v>33</v>
      </c>
      <c r="B35" s="3">
        <v>3</v>
      </c>
      <c r="C35" s="4">
        <f>B35/B5</f>
        <v>0.16666666666666666</v>
      </c>
    </row>
    <row r="36" spans="1:4">
      <c r="A36" s="5" t="s">
        <v>20</v>
      </c>
      <c r="B36" s="6">
        <f>SUM(B33:B35)</f>
        <v>18</v>
      </c>
      <c r="C36" s="7">
        <f>SUM(C33:C35)</f>
        <v>0.99999999999999989</v>
      </c>
    </row>
    <row r="37" spans="1:4">
      <c r="A37" s="2" t="s">
        <v>34</v>
      </c>
      <c r="B37" s="3">
        <f>B33</f>
        <v>12</v>
      </c>
      <c r="C37" s="4">
        <f>B37/B5</f>
        <v>0.66666666666666663</v>
      </c>
    </row>
    <row r="38" spans="1:4">
      <c r="A38" s="2" t="s">
        <v>35</v>
      </c>
      <c r="B38" s="3">
        <f>B34+B35</f>
        <v>6</v>
      </c>
      <c r="C38" s="4">
        <f>B38/B5</f>
        <v>0.33333333333333331</v>
      </c>
    </row>
    <row r="40" spans="1:4">
      <c r="A40" s="18" t="s">
        <v>36</v>
      </c>
      <c r="B40" s="18"/>
      <c r="C40" s="18"/>
      <c r="D40" s="18"/>
    </row>
    <row r="41" spans="1:4">
      <c r="A41" s="8" t="s">
        <v>37</v>
      </c>
      <c r="B41" s="8" t="s">
        <v>38</v>
      </c>
    </row>
    <row r="42" spans="1:4">
      <c r="A42" s="2" t="s">
        <v>39</v>
      </c>
      <c r="B42" s="2">
        <v>7</v>
      </c>
    </row>
    <row r="43" spans="1:4">
      <c r="A43" s="2" t="s">
        <v>40</v>
      </c>
      <c r="B43" s="10">
        <f>(90/60)*3</f>
        <v>4.5</v>
      </c>
    </row>
    <row r="44" spans="1:4">
      <c r="A44" s="2" t="s">
        <v>41</v>
      </c>
      <c r="B44" s="2">
        <v>1</v>
      </c>
    </row>
    <row r="45" spans="1:4">
      <c r="A45" s="5" t="s">
        <v>42</v>
      </c>
      <c r="B45" s="11">
        <f>SUM(B42:B44)</f>
        <v>12.5</v>
      </c>
    </row>
    <row r="47" spans="1:4">
      <c r="A47" s="18" t="s">
        <v>43</v>
      </c>
      <c r="B47" s="18"/>
      <c r="C47" s="18"/>
      <c r="D47" s="18"/>
    </row>
    <row r="48" spans="1:4" ht="90" customHeight="1">
      <c r="A48" s="1" t="s">
        <v>44</v>
      </c>
      <c r="B48" s="1"/>
      <c r="C48" s="1"/>
      <c r="D48" s="1"/>
    </row>
    <row r="49" spans="1:4">
      <c r="A49" s="1"/>
      <c r="B49" s="1"/>
      <c r="C49" s="1"/>
      <c r="D49" s="1"/>
    </row>
    <row r="50" spans="1:4">
      <c r="A50" s="1"/>
      <c r="B50" s="1"/>
      <c r="C50" s="1"/>
      <c r="D50" s="1"/>
    </row>
    <row r="51" spans="1:4">
      <c r="A51" s="1"/>
      <c r="B51" s="1"/>
      <c r="C51" s="1"/>
      <c r="D51" s="1"/>
    </row>
    <row r="52" spans="1:4">
      <c r="A52" s="1"/>
      <c r="B52" s="1"/>
      <c r="C52" s="1"/>
      <c r="D52" s="1"/>
    </row>
  </sheetData>
  <mergeCells count="10">
    <mergeCell ref="A1:D1"/>
    <mergeCell ref="A2:D2"/>
    <mergeCell ref="A4:D4"/>
    <mergeCell ref="A8:D8"/>
    <mergeCell ref="A12:D12"/>
    <mergeCell ref="A23:D23"/>
    <mergeCell ref="A31:D31"/>
    <mergeCell ref="A40:D40"/>
    <mergeCell ref="A47:D47"/>
    <mergeCell ref="A48:D5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2026-08-06T04:36:48Z</dcterms:created>
  <dcterms:modified xsi:type="dcterms:W3CDTF">2026-08-06T04:40:54Z</dcterms:modified>
  <cp:category/>
  <cp:contentStatus/>
</cp:coreProperties>
</file>